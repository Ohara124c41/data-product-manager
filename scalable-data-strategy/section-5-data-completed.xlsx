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067622eae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s of Events" sheetId="1" r:id="R3558802f03c24944"/>
    <x:sheet xmlns:r="http://schemas.openxmlformats.org/officeDocument/2006/relationships" name="Analysis" sheetId="2" r:id="R941150c1221d4b28"/>
  </x:sheets>
</x:workbook>
</file>

<file path=xl/sharedStrings.xml><?xml version="1.0" encoding="utf-8"?>
<x:sst xmlns:x="http://schemas.openxmlformats.org/spreadsheetml/2006/main">
  <x:si>
    <x:t xml:space="preserve">Choose Car</x:t>
  </x:si>
  <x:si>
    <x:t xml:space="preserve">Search</x:t>
  </x:si>
  <x:si>
    <x:t xml:space="preserve">Open</x:t>
  </x:si>
  <x:si>
    <x:t xml:space="preserve">Begin Ride</x:t>
  </x:si>
  <x:si>
    <x:t xml:space="preserve">Request Car</x:t>
  </x:si>
  <x:si>
    <x:t xml:space="preserve">Total Event</x:t>
  </x:si>
</x:sst>
</file>

<file path=xl/styles.xml><?xml version="1.0" encoding="utf-8"?>
<x:styleSheet xmlns:x="http://schemas.openxmlformats.org/spreadsheetml/2006/main">
  <x:numFmts count="3">
    <x:numFmt numFmtId="164" formatCode="m/d/yyyy"/>
    <x:numFmt numFmtId="200" formatCode="#,##0"/>
    <x:numFmt numFmtId="201" formatCode="0.00x"/>
  </x:numFmts>
  <x:fonts count="10">
    <x:font>
      <x:sz val="10"/>
      <x:color rgb="FF000000"/>
      <x:name val="Arial"/>
    </x:font>
    <x:font>
      <x:color theme="1"/>
      <x:name val="Arial"/>
    </x:font>
    <x:font>
      <x:sz val="8"/>
      <x:color theme="1"/>
      <x:name val="Arial"/>
    </x:font>
    <x:font>
      <x:sz val="10"/>
      <x:color theme="1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b/>
      <x:sz val="10"/>
      <x:color rgb="FF17365D"/>
      <x:name val="Arial"/>
    </x:font>
    <x:font>
      <x:sz val="9"/>
      <x:color rgb="FF000000"/>
      <x:name val="Arial"/>
    </x:font>
    <x:font>
      <x:b/>
      <x:sz val="9"/>
      <x:color rgb="FF17365D"/>
      <x:name val="Arial"/>
    </x:font>
    <x:font>
      <x:sz val="1"/>
      <x:color rgb="FFFFFFFF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BDBDBD"/>
      </x:patternFill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E2E8F0"/>
      </x:right>
      <x:top style="thin">
        <x:color rgb="FF00000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000000"/>
      </x:top>
      <x:bottom style="thin">
        <x:color rgb="FFE2E8F0"/>
      </x:bottom>
    </x:border>
    <x:border>
      <x:left style="thin">
        <x:color rgb="FFE2E8F0"/>
      </x:left>
      <x:right style="thin">
        <x:color rgb="FF000000"/>
      </x:right>
      <x:top style="thin">
        <x:color rgb="FF000000"/>
      </x:top>
      <x:bottom style="thin">
        <x:color rgb="FFE2E8F0"/>
      </x:bottom>
    </x:border>
    <x:border>
      <x:left style="thin">
        <x:color rgb="FF00000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000000"/>
      </x:right>
      <x:top style="thin">
        <x:color rgb="FFE2E8F0"/>
      </x:top>
      <x:bottom style="thin">
        <x:color rgb="FFE2E8F0"/>
      </x:bottom>
    </x:border>
    <x:border>
      <x:left style="thin">
        <x:color rgb="FF000000"/>
      </x:left>
      <x:right style="thin">
        <x:color rgb="FFE2E8F0"/>
      </x:right>
      <x:top style="thin">
        <x:color rgb="FFE2E8F0"/>
      </x:top>
      <x:bottom style="thin">
        <x:color rgb="FF00000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000000"/>
      </x:bottom>
    </x:border>
    <x:border>
      <x:left style="thin">
        <x:color rgb="FFE2E8F0"/>
      </x:left>
      <x:right style="thin">
        <x:color rgb="FF000000"/>
      </x:right>
      <x:top style="thin">
        <x:color rgb="FFE2E8F0"/>
      </x:top>
      <x:bottom style="thin">
        <x:color rgb="FF00000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 applyFont="1" applyAlignment="1"/>
  </x:cellStyleXfs>
  <x:cellXfs count="70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bottom"/>
    </x:xf>
    <x:xf numFmtId="0" fontId="2" fillId="2" borderId="1" xfId="0" applyFont="1" applyBorder="1" applyAlignment="1">
      <x:alignment vertical="bottom"/>
    </x:xf>
    <x:xf numFmtId="164" fontId="2" fillId="3" borderId="1" xfId="0" applyNumberFormat="1" applyFont="1" applyFill="1" applyBorder="1" applyAlignment="1">
      <x:alignment horizontal="right" vertical="bottom"/>
    </x:xf>
    <x:xf numFmtId="0" fontId="2" fillId="3" borderId="2" xfId="0" applyFont="1" applyBorder="1" applyAlignment="1">
      <x:alignment horizontal="right" vertical="bottom"/>
    </x:xf>
    <x:xf numFmtId="164" fontId="2" fillId="4" borderId="1" xfId="0" applyNumberFormat="1" applyFont="1" applyFill="1" applyBorder="1" applyAlignment="1">
      <x:alignment horizontal="right" vertical="bottom"/>
    </x:xf>
    <x:xf numFmtId="0" fontId="2" fillId="4" borderId="2" xfId="0" applyFont="1" applyBorder="1" applyAlignment="1">
      <x:alignment horizontal="right" vertical="bottom"/>
    </x:xf>
    <x:xf numFmtId="0" fontId="3" fillId="2" borderId="1" xfId="0" applyNumberFormat="1" applyFont="1" applyFill="1" applyBorder="1" applyAlignment="1">
      <x:alignment vertical="bottom"/>
    </x:xf>
    <x:xf numFmtId="164" fontId="3" fillId="3" borderId="1" xfId="0" applyNumberFormat="1" applyFont="1" applyFill="1" applyBorder="1" applyAlignment="1">
      <x:alignment horizontal="right" vertical="bottom"/>
    </x:xf>
    <x:xf numFmtId="0" fontId="3" fillId="3" borderId="2" xfId="0" applyNumberFormat="1" applyFont="1" applyFill="1" applyBorder="1" applyAlignment="1">
      <x:alignment horizontal="right" vertical="bottom"/>
    </x:xf>
    <x:xf numFmtId="164" fontId="3" fillId="4" borderId="1" xfId="0" applyNumberFormat="1" applyFont="1" applyFill="1" applyBorder="1" applyAlignment="1">
      <x:alignment horizontal="right" vertical="bottom"/>
    </x:xf>
    <x:xf numFmtId="0" fontId="3" fillId="4" borderId="2" xfId="0" applyNumberFormat="1" applyFont="1" applyFill="1" applyBorder="1" applyAlignment="1">
      <x:alignment horizontal="right" vertical="bottom"/>
    </x:xf>
    <x:xf numFmtId="0" fontId="3" fillId="2" borderId="3" xfId="0" applyNumberFormat="1" applyFont="1" applyFill="1" applyBorder="1" applyAlignment="1">
      <x:alignment vertical="bottom"/>
    </x:xf>
    <x:xf numFmtId="0" fontId="3" fillId="2" borderId="4" xfId="0" applyNumberFormat="1" applyFont="1" applyFill="1" applyBorder="1" applyAlignment="1">
      <x:alignment vertical="bottom"/>
    </x:xf>
    <x:xf numFmtId="0" fontId="3" fillId="2" borderId="5" xfId="0" applyNumberFormat="1" applyFont="1" applyFill="1" applyBorder="1" applyAlignment="1">
      <x:alignment vertical="bottom"/>
    </x:xf>
    <x:xf numFmtId="164" fontId="3" fillId="3" borderId="6" xfId="0" applyNumberFormat="1" applyFont="1" applyFill="1" applyBorder="1" applyAlignment="1">
      <x:alignment horizontal="right" vertical="bottom"/>
    </x:xf>
    <x:xf numFmtId="0" fontId="3" fillId="3" borderId="7" xfId="0" applyNumberFormat="1" applyFont="1" applyFill="1" applyBorder="1" applyAlignment="1">
      <x:alignment horizontal="right" vertical="bottom"/>
    </x:xf>
    <x:xf numFmtId="0" fontId="3" fillId="3" borderId="8" xfId="0" applyNumberFormat="1" applyFont="1" applyFill="1" applyBorder="1" applyAlignment="1">
      <x:alignment horizontal="right" vertical="bottom"/>
    </x:xf>
    <x:xf numFmtId="164" fontId="3" fillId="4" borderId="6" xfId="0" applyNumberFormat="1" applyFont="1" applyFill="1" applyBorder="1" applyAlignment="1">
      <x:alignment horizontal="right" vertical="bottom"/>
    </x:xf>
    <x:xf numFmtId="0" fontId="3" fillId="4" borderId="7" xfId="0" applyNumberFormat="1" applyFont="1" applyFill="1" applyBorder="1" applyAlignment="1">
      <x:alignment horizontal="right" vertical="bottom"/>
    </x:xf>
    <x:xf numFmtId="0" fontId="3" fillId="4" borderId="8" xfId="0" applyNumberFormat="1" applyFont="1" applyFill="1" applyBorder="1" applyAlignment="1">
      <x:alignment horizontal="right" vertical="bottom"/>
    </x:xf>
    <x:xf numFmtId="164" fontId="3" fillId="3" borderId="9" xfId="0" applyNumberFormat="1" applyFont="1" applyFill="1" applyBorder="1" applyAlignment="1">
      <x:alignment horizontal="right" vertical="bottom"/>
    </x:xf>
    <x:xf numFmtId="0" fontId="3" fillId="3" borderId="10" xfId="0" applyNumberFormat="1" applyFont="1" applyFill="1" applyBorder="1" applyAlignment="1">
      <x:alignment horizontal="right" vertical="bottom"/>
    </x:xf>
    <x:xf numFmtId="0" fontId="3" fillId="3" borderId="11" xfId="0" applyNumberFormat="1" applyFont="1" applyFill="1" applyBorder="1" applyAlignment="1">
      <x:alignment horizontal="right" vertical="bottom"/>
    </x:xf>
    <x:xf numFmtId="0" fontId="3" fillId="5" borderId="3" xfId="0" applyNumberFormat="1" applyFont="1" applyFill="1" applyBorder="1" applyAlignment="1">
      <x:alignment vertical="bottom"/>
    </x:xf>
    <x:xf numFmtId="0" fontId="3" fillId="5" borderId="4" xfId="0" applyNumberFormat="1" applyFont="1" applyFill="1" applyBorder="1" applyAlignment="1">
      <x:alignment vertical="bottom"/>
    </x:xf>
    <x:xf numFmtId="0" fontId="3" fillId="5" borderId="5" xfId="0" applyNumberFormat="1" applyFont="1" applyFill="1" applyBorder="1" applyAlignment="1">
      <x:alignment vertical="bottom"/>
    </x:xf>
    <x:xf numFmtId="0" fontId="4" fillId="5" borderId="3" xfId="0" applyNumberFormat="1" applyFont="1" applyFill="1" applyBorder="1" applyAlignment="1">
      <x:alignment vertical="bottom"/>
    </x:xf>
    <x:xf numFmtId="0" fontId="4" fillId="5" borderId="4" xfId="0" applyNumberFormat="1" applyFont="1" applyFill="1" applyBorder="1" applyAlignment="1">
      <x:alignment vertical="bottom"/>
    </x:xf>
    <x:xf numFmtId="0" fontId="4" fillId="5" borderId="5" xfId="0" applyNumberFormat="1" applyFont="1" applyFill="1" applyBorder="1" applyAlignment="1">
      <x:alignment vertical="bottom"/>
    </x:xf>
    <x:xf numFmtId="0" fontId="4" fillId="5" borderId="3" xfId="0" applyNumberFormat="1" applyFont="1" applyFill="1" applyBorder="1" applyAlignment="1">
      <x:alignment horizontal="center" vertical="bottom"/>
    </x:xf>
    <x:xf numFmtId="0" fontId="4" fillId="5" borderId="4" xfId="0" applyNumberFormat="1" applyFont="1" applyFill="1" applyBorder="1" applyAlignment="1">
      <x:alignment horizontal="center" vertical="bottom"/>
    </x:xf>
    <x:xf numFmtId="0" fontId="4" fillId="5" borderId="5" xfId="0" applyNumberFormat="1" applyFont="1" applyFill="1" applyBorder="1" applyAlignment="1">
      <x:alignment horizontal="center" vertical="bottom"/>
    </x:xf>
    <x:xf numFmtId="200" fontId="3" fillId="3" borderId="7" xfId="0" applyNumberFormat="1" applyFont="1" applyFill="1" applyBorder="1" applyAlignment="1">
      <x:alignment horizontal="right" vertical="bottom"/>
    </x:xf>
    <x:xf numFmtId="200" fontId="3" fillId="3" borderId="8" xfId="0" applyNumberFormat="1" applyFont="1" applyFill="1" applyBorder="1" applyAlignment="1">
      <x:alignment horizontal="right" vertical="bottom"/>
    </x:xf>
    <x:xf numFmtId="200" fontId="3" fillId="4" borderId="7" xfId="0" applyNumberFormat="1" applyFont="1" applyFill="1" applyBorder="1" applyAlignment="1">
      <x:alignment horizontal="right" vertical="bottom"/>
    </x:xf>
    <x:xf numFmtId="200" fontId="3" fillId="4" borderId="8" xfId="0" applyNumberFormat="1" applyFont="1" applyFill="1" applyBorder="1" applyAlignment="1">
      <x:alignment horizontal="right" vertical="bottom"/>
    </x:xf>
    <x:xf numFmtId="200" fontId="3" fillId="3" borderId="10" xfId="0" applyNumberFormat="1" applyFont="1" applyFill="1" applyBorder="1" applyAlignment="1">
      <x:alignment horizontal="right" vertical="bottom"/>
    </x:xf>
    <x:xf numFmtId="200" fontId="3" fillId="3" borderId="11" xfId="0" applyNumberFormat="1" applyFont="1" applyFill="1" applyBorder="1" applyAlignment="1">
      <x:alignment horizontal="right" vertical="bottom"/>
    </x:xf>
    <x:xf numFmtId="0" fontId="0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vertical="bottom" wrapText="0"/>
    </x:xf>
    <x:xf numFmtId="0" fontId="5" fillId="5" borderId="0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vertical="bottom" wrapText="0"/>
    </x:xf>
    <x:xf numFmtId="0" fontId="6" fillId="6" borderId="0" xfId="0" applyNumberFormat="1" applyFont="1" applyFill="1" applyBorder="1" applyAlignment="1">
      <x:alignment horizontal="center"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bottom" wrapText="0"/>
    </x:xf>
    <x:xf numFmtId="0" fontId="7" fillId="0" borderId="12" xfId="0" applyNumberFormat="1" applyFont="1" applyFill="1" applyBorder="1" applyAlignment="1">
      <x:alignment vertical="bottom" wrapText="0"/>
    </x:xf>
    <x:xf numFmtId="0" fontId="7" fillId="0" borderId="13" xfId="0" applyNumberFormat="1" applyFont="1" applyFill="1" applyBorder="1" applyAlignment="1">
      <x:alignment vertical="bottom" wrapText="0"/>
    </x:xf>
    <x:xf numFmtId="0" fontId="7" fillId="0" borderId="14" xfId="0" applyNumberFormat="1" applyFont="1" applyFill="1" applyBorder="1" applyAlignment="1">
      <x:alignment vertical="bottom" wrapText="0"/>
    </x:xf>
    <x:xf numFmtId="0" fontId="7" fillId="0" borderId="15" xfId="0" applyNumberFormat="1" applyFont="1" applyFill="1" applyBorder="1" applyAlignment="1">
      <x:alignment vertical="bottom" wrapText="0"/>
    </x:xf>
    <x:xf numFmtId="0" fontId="7" fillId="0" borderId="7" xfId="0" applyNumberFormat="1" applyFont="1" applyFill="1" applyBorder="1" applyAlignment="1">
      <x:alignment vertical="bottom" wrapText="0"/>
    </x:xf>
    <x:xf numFmtId="0" fontId="7" fillId="0" borderId="16" xfId="0" applyNumberFormat="1" applyFont="1" applyFill="1" applyBorder="1" applyAlignment="1">
      <x:alignment vertical="bottom" wrapText="0"/>
    </x:xf>
    <x:xf numFmtId="0" fontId="7" fillId="0" borderId="17" xfId="0" applyNumberFormat="1" applyFont="1" applyFill="1" applyBorder="1" applyAlignment="1">
      <x:alignment vertical="bottom" wrapText="0"/>
    </x:xf>
    <x:xf numFmtId="0" fontId="7" fillId="0" borderId="18" xfId="0" applyNumberFormat="1" applyFont="1" applyFill="1" applyBorder="1" applyAlignment="1">
      <x:alignment vertical="bottom" wrapText="0"/>
    </x:xf>
    <x:xf numFmtId="0" fontId="7" fillId="0" borderId="19" xfId="0" applyNumberFormat="1" applyFont="1" applyFill="1" applyBorder="1" applyAlignment="1">
      <x:alignment vertical="bottom" wrapText="0"/>
    </x:xf>
    <x:xf numFmtId="0" fontId="7" fillId="6" borderId="12" xfId="0" applyNumberFormat="1" applyFont="1" applyFill="1" applyBorder="1" applyAlignment="1">
      <x:alignment vertical="bottom" wrapText="0"/>
    </x:xf>
    <x:xf numFmtId="0" fontId="7" fillId="6" borderId="13" xfId="0" applyNumberFormat="1" applyFont="1" applyFill="1" applyBorder="1" applyAlignment="1">
      <x:alignment vertical="bottom" wrapText="0"/>
    </x:xf>
    <x:xf numFmtId="0" fontId="7" fillId="6" borderId="14" xfId="0" applyNumberFormat="1" applyFont="1" applyFill="1" applyBorder="1" applyAlignment="1">
      <x:alignment vertical="bottom" wrapText="0"/>
    </x:xf>
    <x:xf numFmtId="0" fontId="8" fillId="6" borderId="12" xfId="0" applyNumberFormat="1" applyFont="1" applyFill="1" applyBorder="1" applyAlignment="1">
      <x:alignment vertical="bottom" wrapText="0"/>
    </x:xf>
    <x:xf numFmtId="0" fontId="8" fillId="6" borderId="13" xfId="0" applyNumberFormat="1" applyFont="1" applyFill="1" applyBorder="1" applyAlignment="1">
      <x:alignment vertical="bottom" wrapText="0"/>
    </x:xf>
    <x:xf numFmtId="0" fontId="8" fillId="6" borderId="14" xfId="0" applyNumberFormat="1" applyFont="1" applyFill="1" applyBorder="1" applyAlignment="1">
      <x:alignment vertical="bottom" wrapText="0"/>
    </x:xf>
    <x:xf numFmtId="164" fontId="7" fillId="0" borderId="15" xfId="0" applyNumberFormat="1" applyFont="1" applyFill="1" applyBorder="1" applyAlignment="1">
      <x:alignment vertical="bottom" wrapText="0"/>
    </x:xf>
    <x:xf numFmtId="164" fontId="7" fillId="0" borderId="17" xfId="0" applyNumberFormat="1" applyFont="1" applyFill="1" applyBorder="1" applyAlignment="1">
      <x:alignment vertical="bottom" wrapText="0"/>
    </x:xf>
    <x:xf numFmtId="200" fontId="7" fillId="0" borderId="7" xfId="0" applyNumberFormat="1" applyFont="1" applyFill="1" applyBorder="1" applyAlignment="1">
      <x:alignment vertical="bottom" wrapText="0"/>
    </x:xf>
    <x:xf numFmtId="200" fontId="7" fillId="0" borderId="16" xfId="0" applyNumberFormat="1" applyFont="1" applyFill="1" applyBorder="1" applyAlignment="1">
      <x:alignment vertical="bottom" wrapText="0"/>
    </x:xf>
    <x:xf numFmtId="200" fontId="7" fillId="0" borderId="18" xfId="0" applyNumberFormat="1" applyFont="1" applyFill="1" applyBorder="1" applyAlignment="1">
      <x:alignment vertical="bottom" wrapText="0"/>
    </x:xf>
    <x:xf numFmtId="200" fontId="7" fillId="0" borderId="19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38ca82cdb471e" /><Relationship Type="http://schemas.openxmlformats.org/officeDocument/2006/relationships/theme" Target="/xl/theme/theme1.xml" Id="Reb34de1af49c4511" /><Relationship Type="http://schemas.openxmlformats.org/officeDocument/2006/relationships/sharedStrings" Target="/xl/sharedStrings.xml" Id="Rbdbcf36c3bfa442b" /><Relationship Type="http://schemas.openxmlformats.org/officeDocument/2006/relationships/worksheet" Target="/xl/worksheets/sheet1.xml" Id="R3558802f03c24944" /><Relationship Type="http://schemas.openxmlformats.org/officeDocument/2006/relationships/worksheet" Target="/xl/worksheets/sheet2.xml" Id="R941150c1221d4b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2471e88d0b4fae" /><Relationship Type="http://schemas.openxmlformats.org/officeDocument/2006/relationships/chart" Target="/xl/drawings/charts/chart2.xml" Id="R125bcd6a63fb4cab" /><Relationship Type="http://schemas.openxmlformats.org/officeDocument/2006/relationships/chart" Target="/xl/drawings/charts/chart3.xml" Id="Ra79ab98bd8a840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Choose Car events over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Choose Car</c:v>
          </c:tx>
          <c:marker>
            <c:symbol val="none"/>
          </c:marker>
          <c:cat>
            <c:strRef>
              <c:f>'Analysis'!$A$13:$A$43</c:f>
              <c:strCache>
                <c:ptCount val="0"/>
              </c:strCache>
            </c:strRef>
          </c:cat>
          <c:val>
            <c:numRef>
              <c:f>'Analysis'!$B$13:$B$43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 type trends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Choose Car</c:v>
          </c:tx>
          <c:marker>
            <c:symbol val="none"/>
          </c:marker>
          <c:cat>
            <c:strRef>
              <c:f>'Analysis'!$A$13:$A$43</c:f>
              <c:strCache>
                <c:ptCount val="0"/>
              </c:strCache>
            </c:strRef>
          </c:cat>
          <c:val>
            <c:numRef>
              <c:f>'Analysis'!$B$13:$B$43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Search</c:v>
          </c:tx>
          <c:marker>
            <c:symbol val="none"/>
          </c:marker>
          <c:cat>
            <c:strRef>
              <c:f>'Analysis'!$A$13:$A$43</c:f>
              <c:strCache>
                <c:ptCount val="0"/>
              </c:strCache>
            </c:strRef>
          </c:cat>
          <c:val>
            <c:numRef>
              <c:f>'Analysis'!$C$13:$C$43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Open</c:v>
          </c:tx>
          <c:marker>
            <c:symbol val="none"/>
          </c:marker>
          <c:cat>
            <c:strRef>
              <c:f>'Analysis'!$A$13:$A$43</c:f>
              <c:strCache>
                <c:ptCount val="0"/>
              </c:strCache>
            </c:strRef>
          </c:cat>
          <c:val>
            <c:numRef>
              <c:f>'Analysis'!$D$13:$D$43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Begin Ride</c:v>
          </c:tx>
          <c:marker>
            <c:symbol val="none"/>
          </c:marker>
          <c:cat>
            <c:strRef>
              <c:f>'Analysis'!$A$13:$A$43</c:f>
              <c:strCache>
                <c:ptCount val="0"/>
              </c:strCache>
            </c:strRef>
          </c:cat>
          <c:val>
            <c:numRef>
              <c:f>'Analysis'!$E$13:$E$43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Request Car</c:v>
          </c:tx>
          <c:marker>
            <c:symbol val="none"/>
          </c:marker>
          <c:cat>
            <c:strRef>
              <c:f>'Analysis'!$A$13:$A$43</c:f>
              <c:strCache>
                <c:ptCount val="0"/>
              </c:strCache>
            </c:strRef>
          </c:cat>
          <c:val>
            <c:numRef>
              <c:f>'Analysis'!$F$13:$F$43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events over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 Event</c:v>
          </c:tx>
          <c:marker>
            <c:symbol val="none"/>
          </c:marker>
          <c:cat>
            <c:strRef>
              <c:f>'Analysis'!$H$13:$H$43</c:f>
              <c:strCache>
                <c:ptCount val="0"/>
              </c:strCache>
            </c:strRef>
          </c:cat>
          <c:val>
            <c:numRef>
              <c:f>'Analysis'!$I$13:$I$43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2471e88d0b4fae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5bcd6a63fb4cab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9ab98bd8a8404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a06d529b5f46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.75"/>
  <x:cols>
    <x:col min="1" max="1" width="8.880000114440918" hidden="0" customWidth="1"/>
    <x:col min="2" max="2" width="9.880000114440918" hidden="0" customWidth="1"/>
    <x:col min="3" max="3" width="8" hidden="0" customWidth="1"/>
    <x:col min="4" max="4" width="8.880000114440918" hidden="0" customWidth="1"/>
    <x:col min="5" max="5" width="9.25" hidden="0" customWidth="1"/>
    <x:col min="6" max="6" width="10.380000114440918" hidden="0" customWidth="1"/>
    <x:col min="7" max="7" width="9.5" hidden="0" customWidth="1"/>
  </x:cols>
  <x:sheetData>
    <x:row r="1">
      <x:c r="A1" s="30"/>
      <x:c r="B1" s="31" t="s">
        <x:v>0</x:v>
      </x:c>
      <x:c r="C1" s="31" t="s">
        <x:v>1</x:v>
      </x:c>
      <x:c r="D1" s="31" t="s">
        <x:v>2</x:v>
      </x:c>
      <x:c r="E1" s="31" t="s">
        <x:v>3</x:v>
      </x:c>
      <x:c r="F1" s="31" t="s">
        <x:v>4</x:v>
      </x:c>
      <x:c r="G1" s="32" t="s">
        <x:v>5</x:v>
      </x:c>
    </x:row>
    <x:row r="2">
      <x:c r="A2" s="15">
        <x:v>43719.0</x:v>
      </x:c>
      <x:c r="B2" s="33">
        <x:v>61416.0</x:v>
      </x:c>
      <x:c r="C2" s="33">
        <x:v>140598.0</x:v>
      </x:c>
      <x:c r="D2" s="33">
        <x:v>556714.0</x:v>
      </x:c>
      <x:c r="E2" s="33">
        <x:v>6838.0</x:v>
      </x:c>
      <x:c r="F2" s="33">
        <x:v>24763.0</x:v>
      </x:c>
      <x:c r="G2" s="34" t="n">
        <x:f t="shared" ref="G2:G32" si="1">B2+C2+D2+E2+F2</x:f>
        <x:v>790329</x:v>
      </x:c>
    </x:row>
    <x:row r="3">
      <x:c r="A3" s="18">
        <x:v>43720.0</x:v>
      </x:c>
      <x:c r="B3" s="35">
        <x:v>146620.0</x:v>
      </x:c>
      <x:c r="C3" s="35">
        <x:v>159770.0</x:v>
      </x:c>
      <x:c r="D3" s="35">
        <x:v>632630.0</x:v>
      </x:c>
      <x:c r="E3" s="35">
        <x:v>7770.0</x:v>
      </x:c>
      <x:c r="F3" s="35">
        <x:v>28140.0</x:v>
      </x:c>
      <x:c r="G3" s="36">
        <x:f t="shared" si="1"/>
        <x:v>974930</x:v>
      </x:c>
    </x:row>
    <x:row r="4">
      <x:c r="A4" s="15">
        <x:v>43721.0</x:v>
      </x:c>
      <x:c r="B4" s="33">
        <x:v>277770.0</x:v>
      </x:c>
      <x:c r="C4" s="33">
        <x:v>292090.0</x:v>
      </x:c>
      <x:c r="D4" s="33">
        <x:v>1166910.0</x:v>
      </x:c>
      <x:c r="E4" s="33">
        <x:v>10390.0</x:v>
      </x:c>
      <x:c r="F4" s="33">
        <x:v>52210.0</x:v>
      </x:c>
      <x:c r="G4" s="34">
        <x:f t="shared" si="1"/>
        <x:v>1799370</x:v>
      </x:c>
    </x:row>
    <x:row r="5">
      <x:c r="A5" s="18">
        <x:v>43722.0</x:v>
      </x:c>
      <x:c r="B5" s="35">
        <x:v>56220.0</x:v>
      </x:c>
      <x:c r="C5" s="35">
        <x:v>66050.0</x:v>
      </x:c>
      <x:c r="D5" s="35">
        <x:v>237120.0</x:v>
      </x:c>
      <x:c r="E5" s="35">
        <x:v>6380.0</x:v>
      </x:c>
      <x:c r="F5" s="35">
        <x:v>9870.0</x:v>
      </x:c>
      <x:c r="G5" s="36">
        <x:f t="shared" si="1"/>
        <x:v>375640</x:v>
      </x:c>
    </x:row>
    <x:row r="6">
      <x:c r="A6" s="15">
        <x:v>43723.0</x:v>
      </x:c>
      <x:c r="B6" s="33">
        <x:v>280840.0</x:v>
      </x:c>
      <x:c r="C6" s="33">
        <x:v>290750.0</x:v>
      </x:c>
      <x:c r="D6" s="33">
        <x:v>1182640.0</x:v>
      </x:c>
      <x:c r="E6" s="33">
        <x:v>10900.0</x:v>
      </x:c>
      <x:c r="F6" s="33">
        <x:v>52600.0</x:v>
      </x:c>
      <x:c r="G6" s="34">
        <x:f t="shared" si="1"/>
        <x:v>1817730</x:v>
      </x:c>
    </x:row>
    <x:row r="7">
      <x:c r="A7" s="18">
        <x:v>43724.0</x:v>
      </x:c>
      <x:c r="B7" s="35">
        <x:v>279370.0</x:v>
      </x:c>
      <x:c r="C7" s="35">
        <x:v>288610.0</x:v>
      </x:c>
      <x:c r="D7" s="35">
        <x:v>1171230.0</x:v>
      </x:c>
      <x:c r="E7" s="35">
        <x:v>11190.0</x:v>
      </x:c>
      <x:c r="F7" s="35">
        <x:v>52660.0</x:v>
      </x:c>
      <x:c r="G7" s="36">
        <x:f t="shared" si="1"/>
        <x:v>1803060</x:v>
      </x:c>
    </x:row>
    <x:row r="8">
      <x:c r="A8" s="15">
        <x:v>43725.0</x:v>
      </x:c>
      <x:c r="B8" s="33">
        <x:v>280030.0</x:v>
      </x:c>
      <x:c r="C8" s="33">
        <x:v>291830.0</x:v>
      </x:c>
      <x:c r="D8" s="33">
        <x:v>1163710.0</x:v>
      </x:c>
      <x:c r="E8" s="33">
        <x:v>12470.0</x:v>
      </x:c>
      <x:c r="F8" s="33">
        <x:v>52430.0</x:v>
      </x:c>
      <x:c r="G8" s="34">
        <x:f t="shared" si="1"/>
        <x:v>1800470</x:v>
      </x:c>
    </x:row>
    <x:row r="9">
      <x:c r="A9" s="18">
        <x:v>43726.0</x:v>
      </x:c>
      <x:c r="B9" s="35">
        <x:v>281060.0</x:v>
      </x:c>
      <x:c r="C9" s="35">
        <x:v>289630.0</x:v>
      </x:c>
      <x:c r="D9" s="35">
        <x:v>1166660.0</x:v>
      </x:c>
      <x:c r="E9" s="35">
        <x:v>13270.0</x:v>
      </x:c>
      <x:c r="F9" s="35">
        <x:v>52940.0</x:v>
      </x:c>
      <x:c r="G9" s="36">
        <x:f t="shared" si="1"/>
        <x:v>1803560</x:v>
      </x:c>
    </x:row>
    <x:row r="10">
      <x:c r="A10" s="15">
        <x:v>43727.0</x:v>
      </x:c>
      <x:c r="B10" s="33">
        <x:v>283871.0</x:v>
      </x:c>
      <x:c r="C10" s="33">
        <x:v>318593.0</x:v>
      </x:c>
      <x:c r="D10" s="33">
        <x:v>1283326.0</x:v>
      </x:c>
      <x:c r="E10" s="33">
        <x:v>14597.0</x:v>
      </x:c>
      <x:c r="F10" s="33">
        <x:v>58234.0</x:v>
      </x:c>
      <x:c r="G10" s="34">
        <x:f t="shared" si="1"/>
        <x:v>1958621</x:v>
      </x:c>
    </x:row>
    <x:row r="11">
      <x:c r="A11" s="18">
        <x:v>43728.0</x:v>
      </x:c>
      <x:c r="B11" s="35">
        <x:v>286709.0</x:v>
      </x:c>
      <x:c r="C11" s="35">
        <x:v>350452.0</x:v>
      </x:c>
      <x:c r="D11" s="35">
        <x:v>1411659.0</x:v>
      </x:c>
      <x:c r="E11" s="35">
        <x:v>16057.0</x:v>
      </x:c>
      <x:c r="F11" s="35">
        <x:v>64057.0</x:v>
      </x:c>
      <x:c r="G11" s="36">
        <x:f t="shared" si="1"/>
        <x:v>2128934</x:v>
      </x:c>
    </x:row>
    <x:row r="12">
      <x:c r="A12" s="15">
        <x:v>43729.0</x:v>
      </x:c>
      <x:c r="B12" s="33">
        <x:v>289576.0</x:v>
      </x:c>
      <x:c r="C12" s="33">
        <x:v>385498.0</x:v>
      </x:c>
      <x:c r="D12" s="33">
        <x:v>1552825.0</x:v>
      </x:c>
      <x:c r="E12" s="33">
        <x:v>17662.0</x:v>
      </x:c>
      <x:c r="F12" s="33">
        <x:v>70463.0</x:v>
      </x:c>
      <x:c r="G12" s="34">
        <x:f t="shared" si="1"/>
        <x:v>2316024</x:v>
      </x:c>
    </x:row>
    <x:row r="13">
      <x:c r="A13" s="18">
        <x:v>43730.0</x:v>
      </x:c>
      <x:c r="B13" s="35">
        <x:v>318534.0</x:v>
      </x:c>
      <x:c r="C13" s="35">
        <x:v>424047.0</x:v>
      </x:c>
      <x:c r="D13" s="35">
        <x:v>1708107.0</x:v>
      </x:c>
      <x:c r="E13" s="35">
        <x:v>19429.0</x:v>
      </x:c>
      <x:c r="F13" s="35">
        <x:v>77509.0</x:v>
      </x:c>
      <x:c r="G13" s="36">
        <x:f t="shared" si="1"/>
        <x:v>2547626</x:v>
      </x:c>
    </x:row>
    <x:row r="14">
      <x:c r="A14" s="15">
        <x:v>43731.0</x:v>
      </x:c>
      <x:c r="B14" s="33">
        <x:v>350387.0</x:v>
      </x:c>
      <x:c r="C14" s="33">
        <x:v>466452.0</x:v>
      </x:c>
      <x:c r="D14" s="33">
        <x:v>1878918.0</x:v>
      </x:c>
      <x:c r="E14" s="33">
        <x:v>21371.0</x:v>
      </x:c>
      <x:c r="F14" s="33">
        <x:v>85260.0</x:v>
      </x:c>
      <x:c r="G14" s="34">
        <x:f t="shared" si="1"/>
        <x:v>2802388</x:v>
      </x:c>
    </x:row>
    <x:row r="15">
      <x:c r="A15" s="18">
        <x:v>43732.0</x:v>
      </x:c>
      <x:c r="B15" s="35">
        <x:v>385426.0</x:v>
      </x:c>
      <x:c r="C15" s="35">
        <x:v>513097.0</x:v>
      </x:c>
      <x:c r="D15" s="35">
        <x:v>2066809.0</x:v>
      </x:c>
      <x:c r="E15" s="35">
        <x:v>23509.0</x:v>
      </x:c>
      <x:c r="F15" s="35">
        <x:v>93786.0</x:v>
      </x:c>
      <x:c r="G15" s="36">
        <x:f t="shared" si="1"/>
        <x:v>3082627</x:v>
      </x:c>
    </x:row>
    <x:row r="16">
      <x:c r="A16" s="15">
        <x:v>43733.0</x:v>
      </x:c>
      <x:c r="B16" s="33">
        <x:v>431677.0</x:v>
      </x:c>
      <x:c r="C16" s="33">
        <x:v>574669.0</x:v>
      </x:c>
      <x:c r="D16" s="33">
        <x:v>2314827.0</x:v>
      </x:c>
      <x:c r="E16" s="33">
        <x:v>27035.0</x:v>
      </x:c>
      <x:c r="F16" s="33">
        <x:v>107854.0</x:v>
      </x:c>
      <x:c r="G16" s="34">
        <x:f t="shared" si="1"/>
        <x:v>3456062</x:v>
      </x:c>
    </x:row>
    <x:row r="17">
      <x:c r="A17" s="18">
        <x:v>43734.0</x:v>
      </x:c>
      <x:c r="B17" s="35">
        <x:v>483479.0</x:v>
      </x:c>
      <x:c r="C17" s="35">
        <x:v>643629.0</x:v>
      </x:c>
      <x:c r="D17" s="35">
        <x:v>2592606.0</x:v>
      </x:c>
      <x:c r="E17" s="35">
        <x:v>31090.0</x:v>
      </x:c>
      <x:c r="F17" s="35">
        <x:v>124033.0</x:v>
      </x:c>
      <x:c r="G17" s="36">
        <x:f t="shared" si="1"/>
        <x:v>3874837</x:v>
      </x:c>
    </x:row>
    <x:row r="18">
      <x:c r="A18" s="15">
        <x:v>43735.0</x:v>
      </x:c>
      <x:c r="B18" s="33">
        <x:v>541496.0</x:v>
      </x:c>
      <x:c r="C18" s="33">
        <x:v>720865.0</x:v>
      </x:c>
      <x:c r="D18" s="33">
        <x:v>2903718.0</x:v>
      </x:c>
      <x:c r="E18" s="33">
        <x:v>35754.0</x:v>
      </x:c>
      <x:c r="F18" s="33">
        <x:v>142637.0</x:v>
      </x:c>
      <x:c r="G18" s="34">
        <x:f t="shared" si="1"/>
        <x:v>4344470</x:v>
      </x:c>
    </x:row>
    <x:row r="19">
      <x:c r="A19" s="18">
        <x:v>43736.0</x:v>
      </x:c>
      <x:c r="B19" s="35">
        <x:v>622720.0</x:v>
      </x:c>
      <x:c r="C19" s="35">
        <x:v>807368.0</x:v>
      </x:c>
      <x:c r="D19" s="35">
        <x:v>3252165.0</x:v>
      </x:c>
      <x:c r="E19" s="35">
        <x:v>41117.0</x:v>
      </x:c>
      <x:c r="F19" s="35">
        <x:v>164033.0</x:v>
      </x:c>
      <x:c r="G19" s="36">
        <x:f t="shared" si="1"/>
        <x:v>4887403</x:v>
      </x:c>
    </x:row>
    <x:row r="20">
      <x:c r="A20" s="15">
        <x:v>43737.0</x:v>
      </x:c>
      <x:c r="B20" s="33">
        <x:v>809537.0</x:v>
      </x:c>
      <x:c r="C20" s="33">
        <x:v>904253.0</x:v>
      </x:c>
      <x:c r="D20" s="33">
        <x:v>3642424.0</x:v>
      </x:c>
      <x:c r="E20" s="33">
        <x:v>47284.0</x:v>
      </x:c>
      <x:c r="F20" s="33">
        <x:v>188638.0</x:v>
      </x:c>
      <x:c r="G20" s="34">
        <x:f t="shared" si="1"/>
        <x:v>5592136</x:v>
      </x:c>
    </x:row>
    <x:row r="21">
      <x:c r="A21" s="18">
        <x:v>43738.0</x:v>
      </x:c>
      <x:c r="B21" s="35">
        <x:v>971444.0</x:v>
      </x:c>
      <x:c r="C21" s="35">
        <x:v>1085103.0</x:v>
      </x:c>
      <x:c r="D21" s="35">
        <x:v>4370909.0</x:v>
      </x:c>
      <x:c r="E21" s="35">
        <x:v>54377.0</x:v>
      </x:c>
      <x:c r="F21" s="35">
        <x:v>216934.0</x:v>
      </x:c>
      <x:c r="G21" s="36">
        <x:f t="shared" si="1"/>
        <x:v>6698767</x:v>
      </x:c>
    </x:row>
    <x:row r="22">
      <x:c r="A22" s="15">
        <x:v>43739.0</x:v>
      </x:c>
      <x:c r="B22" s="33">
        <x:v>1262877.0</x:v>
      </x:c>
      <x:c r="C22" s="33">
        <x:v>1410634.0</x:v>
      </x:c>
      <x:c r="D22" s="33">
        <x:v>5682182.0</x:v>
      </x:c>
      <x:c r="E22" s="33">
        <x:v>62533.0</x:v>
      </x:c>
      <x:c r="F22" s="33">
        <x:v>249474.0</x:v>
      </x:c>
      <x:c r="G22" s="34">
        <x:f t="shared" si="1"/>
        <x:v>8667700</x:v>
      </x:c>
    </x:row>
    <x:row r="23">
      <x:c r="A23" s="18">
        <x:v>43740.0</x:v>
      </x:c>
      <x:c r="B23" s="35">
        <x:v>1641740.0</x:v>
      </x:c>
      <x:c r="C23" s="35">
        <x:v>1833824.0</x:v>
      </x:c>
      <x:c r="D23" s="35">
        <x:v>7386836.0</x:v>
      </x:c>
      <x:c r="E23" s="35">
        <x:v>71913.0</x:v>
      </x:c>
      <x:c r="F23" s="35">
        <x:v>286895.0</x:v>
      </x:c>
      <x:c r="G23" s="36">
        <x:f t="shared" si="1"/>
        <x:v>11221208</x:v>
      </x:c>
    </x:row>
    <x:row r="24">
      <x:c r="A24" s="15">
        <x:v>43741.0</x:v>
      </x:c>
      <x:c r="B24" s="33">
        <x:v>2134262.0</x:v>
      </x:c>
      <x:c r="C24" s="33">
        <x:v>2383972.0</x:v>
      </x:c>
      <x:c r="D24" s="33">
        <x:v>9602887.0</x:v>
      </x:c>
      <x:c r="E24" s="33">
        <x:v>89892.0</x:v>
      </x:c>
      <x:c r="F24" s="33">
        <x:v>358619.0</x:v>
      </x:c>
      <x:c r="G24" s="34">
        <x:f t="shared" si="1"/>
        <x:v>14569632</x:v>
      </x:c>
    </x:row>
    <x:row r="25">
      <x:c r="A25" s="18">
        <x:v>43742.0</x:v>
      </x:c>
      <x:c r="B25" s="35">
        <x:v>2774541.0</x:v>
      </x:c>
      <x:c r="C25" s="35">
        <x:v>3099163.0</x:v>
      </x:c>
      <x:c r="D25" s="35">
        <x:v>1.2483754E7</x:v>
      </x:c>
      <x:c r="E25" s="35">
        <x:v>112365.0</x:v>
      </x:c>
      <x:c r="F25" s="35">
        <x:v>448273.0</x:v>
      </x:c>
      <x:c r="G25" s="36">
        <x:f t="shared" si="1"/>
        <x:v>18918096</x:v>
      </x:c>
    </x:row>
    <x:row r="26">
      <x:c r="A26" s="15">
        <x:v>43743.0</x:v>
      </x:c>
      <x:c r="B26" s="33">
        <x:v>2497087.0</x:v>
      </x:c>
      <x:c r="C26" s="33">
        <x:v>2789247.0</x:v>
      </x:c>
      <x:c r="D26" s="33">
        <x:v>1.1235378E7</x:v>
      </x:c>
      <x:c r="E26" s="33">
        <x:v>101128.0</x:v>
      </x:c>
      <x:c r="F26" s="33">
        <x:v>403446.0</x:v>
      </x:c>
      <x:c r="G26" s="34">
        <x:f t="shared" si="1"/>
        <x:v>17026286</x:v>
      </x:c>
    </x:row>
    <x:row r="27">
      <x:c r="A27" s="18">
        <x:v>43744.0</x:v>
      </x:c>
      <x:c r="B27" s="35">
        <x:v>2247378.0</x:v>
      </x:c>
      <x:c r="C27" s="35">
        <x:v>2510322.0</x:v>
      </x:c>
      <x:c r="D27" s="35">
        <x:v>1.011184E7</x:v>
      </x:c>
      <x:c r="E27" s="35">
        <x:v>91015.0</x:v>
      </x:c>
      <x:c r="F27" s="35">
        <x:v>363101.0</x:v>
      </x:c>
      <x:c r="G27" s="36">
        <x:f t="shared" si="1"/>
        <x:v>15323656</x:v>
      </x:c>
    </x:row>
    <x:row r="28">
      <x:c r="A28" s="15">
        <x:v>43745.0</x:v>
      </x:c>
      <x:c r="B28" s="33">
        <x:v>2022640.0</x:v>
      </x:c>
      <x:c r="C28" s="33">
        <x:v>2259290.0</x:v>
      </x:c>
      <x:c r="D28" s="33">
        <x:v>9100656.0</x:v>
      </x:c>
      <x:c r="E28" s="33">
        <x:v>81914.0</x:v>
      </x:c>
      <x:c r="F28" s="33">
        <x:v>326791.0</x:v>
      </x:c>
      <x:c r="G28" s="34">
        <x:f t="shared" si="1"/>
        <x:v>13791291</x:v>
      </x:c>
    </x:row>
    <x:row r="29">
      <x:c r="A29" s="18">
        <x:v>43746.0</x:v>
      </x:c>
      <x:c r="B29" s="35">
        <x:v>1820376.0</x:v>
      </x:c>
      <x:c r="C29" s="35">
        <x:v>2033361.0</x:v>
      </x:c>
      <x:c r="D29" s="35">
        <x:v>8190591.0</x:v>
      </x:c>
      <x:c r="E29" s="35">
        <x:v>73722.0</x:v>
      </x:c>
      <x:c r="F29" s="35">
        <x:v>294112.0</x:v>
      </x:c>
      <x:c r="G29" s="36">
        <x:f t="shared" si="1"/>
        <x:v>12412162</x:v>
      </x:c>
    </x:row>
    <x:row r="30">
      <x:c r="A30" s="15">
        <x:v>43747.0</x:v>
      </x:c>
      <x:c r="B30" s="33">
        <x:v>1838580.0</x:v>
      </x:c>
      <x:c r="C30" s="33">
        <x:v>2053694.0</x:v>
      </x:c>
      <x:c r="D30" s="33">
        <x:v>8272497.0</x:v>
      </x:c>
      <x:c r="E30" s="33">
        <x:v>74460.0</x:v>
      </x:c>
      <x:c r="F30" s="33">
        <x:v>297053.0</x:v>
      </x:c>
      <x:c r="G30" s="34">
        <x:f t="shared" si="1"/>
        <x:v>12536284</x:v>
      </x:c>
    </x:row>
    <x:row r="31">
      <x:c r="A31" s="18">
        <x:v>43748.0</x:v>
      </x:c>
      <x:c r="B31" s="35">
        <x:v>1856966.0</x:v>
      </x:c>
      <x:c r="C31" s="35">
        <x:v>2074231.0</x:v>
      </x:c>
      <x:c r="D31" s="35">
        <x:v>8355222.0</x:v>
      </x:c>
      <x:c r="E31" s="35">
        <x:v>75204.0</x:v>
      </x:c>
      <x:c r="F31" s="35">
        <x:v>300024.0</x:v>
      </x:c>
      <x:c r="G31" s="36">
        <x:f t="shared" si="1"/>
        <x:v>12661647</x:v>
      </x:c>
    </x:row>
    <x:row r="32">
      <x:c r="A32" s="21">
        <x:v>43749.0</x:v>
      </x:c>
      <x:c r="B32" s="37">
        <x:v>1875536.0</x:v>
      </x:c>
      <x:c r="C32" s="37">
        <x:v>2094974.0</x:v>
      </x:c>
      <x:c r="D32" s="37">
        <x:v>8438774.0</x:v>
      </x:c>
      <x:c r="E32" s="37">
        <x:v>75956.0</x:v>
      </x:c>
      <x:c r="F32" s="37">
        <x:v>303024.0</x:v>
      </x:c>
      <x:c r="G32" s="38">
        <x:f t="shared" si="1"/>
        <x:v>12788264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" hidden="0" customWidth="1"/>
    <x:col min="9" max="9" width="2" hidden="0" customWidth="1"/>
  </x:cols>
  <x:sheetData>
    <x:row r="1">
      <x:c r="A1" s="41" t="str">
        <x:v>Flyber Growth Analysis - September 11 to October 11, 2019</x:v>
      </x:c>
      <x:c r="B1" s="41" t="str">
        <x:v>Flyber Growth Analysis - September 11 to October 11, 2019</x:v>
      </x:c>
      <x:c r="C1" s="41" t="str">
        <x:v>Flyber Growth Analysis - September 11 to October 11, 2019</x:v>
      </x:c>
      <x:c r="D1" s="41" t="str">
        <x:v>Flyber Growth Analysis - September 11 to October 11, 2019</x:v>
      </x:c>
      <x:c r="E1" s="41" t="str">
        <x:v>Flyber Growth Analysis - September 11 to October 11, 2019</x:v>
      </x:c>
      <x:c r="F1" s="41" t="str">
        <x:v>Flyber Growth Analysis - September 11 to October 11, 2019</x:v>
      </x:c>
      <x:c r="G1" s="41" t="str">
        <x:v>Flyber Growth Analysis - September 11 to October 11, 2019</x:v>
      </x:c>
      <x:c r="H1" s="41" t="str">
        <x:v>Flyber Growth Analysis - September 11 to October 11, 2019</x:v>
      </x:c>
    </x:row>
    <x:row r="2">
      <x:c r="A2" s="41" t="str">
        <x:v>Flyber Growth Analysis - September 11 to October 11, 2019</x:v>
      </x:c>
      <x:c r="B2" s="41" t="str">
        <x:v>Flyber Growth Analysis - September 11 to October 11, 2019</x:v>
      </x:c>
      <x:c r="C2" s="41" t="str">
        <x:v>Flyber Growth Analysis - September 11 to October 11, 2019</x:v>
      </x:c>
      <x:c r="D2" s="41" t="str">
        <x:v>Flyber Growth Analysis - September 11 to October 11, 2019</x:v>
      </x:c>
      <x:c r="E2" s="41" t="str">
        <x:v>Flyber Growth Analysis - September 11 to October 11, 2019</x:v>
      </x:c>
      <x:c r="F2" s="41" t="str">
        <x:v>Flyber Growth Analysis - September 11 to October 11, 2019</x:v>
      </x:c>
      <x:c r="G2" s="41" t="str">
        <x:v>Flyber Growth Analysis - September 11 to October 11, 2019</x:v>
      </x:c>
      <x:c r="H2" s="41" t="str">
        <x:v>Flyber Growth Analysis - September 11 to October 11, 2019</x:v>
      </x:c>
    </x:row>
    <x:row r="4">
      <x:c r="A4" s="44" t="str">
        <x:v>Metric</x:v>
      </x:c>
      <x:c r="B4" s="44" t="str">
        <x:v>Start</x:v>
      </x:c>
      <x:c r="C4" s="44" t="str">
        <x:v>End</x:v>
      </x:c>
      <x:c r="D4" s="44" t="str">
        <x:v>Growth Multiple</x:v>
      </x:c>
    </x:row>
    <x:row r="5">
      <x:c r="A5" t="str">
        <x:v>Choose Car</x:v>
      </x:c>
      <x:c r="B5" s="45" t="n">
        <x:f>'Types of Events'!B2</x:f>
        <x:v>61416</x:v>
      </x:c>
      <x:c r="C5" s="45" t="n">
        <x:f>'Types of Events'!B32</x:f>
        <x:v>1875536</x:v>
      </x:c>
      <x:c r="D5" s="46" t="n">
        <x:f>C5/B5</x:f>
        <x:v>30.5382310798489</x:v>
      </x:c>
    </x:row>
    <x:row r="6">
      <x:c r="A6" t="str">
        <x:v>Search</x:v>
      </x:c>
      <x:c r="B6" s="45" t="n">
        <x:f>'Types of Events'!C2</x:f>
        <x:v>140598</x:v>
      </x:c>
      <x:c r="C6" s="45" t="n">
        <x:f>'Types of Events'!C32</x:f>
        <x:v>2094974</x:v>
      </x:c>
      <x:c r="D6" s="46" t="n">
        <x:f>C6/B6</x:f>
        <x:v>14.900453776013883</x:v>
      </x:c>
    </x:row>
    <x:row r="7">
      <x:c r="A7" t="str">
        <x:v>Open</x:v>
      </x:c>
      <x:c r="B7" s="45" t="n">
        <x:f>'Types of Events'!D2</x:f>
        <x:v>556714</x:v>
      </x:c>
      <x:c r="C7" s="45" t="n">
        <x:f>'Types of Events'!D32</x:f>
        <x:v>8438774</x:v>
      </x:c>
      <x:c r="D7" s="46" t="n">
        <x:f>C7/B7</x:f>
        <x:v>15.158185351904208</x:v>
      </x:c>
    </x:row>
    <x:row r="8">
      <x:c r="A8" t="str">
        <x:v>Begin Ride</x:v>
      </x:c>
      <x:c r="B8" s="45" t="n">
        <x:f>'Types of Events'!E2</x:f>
        <x:v>6838</x:v>
      </x:c>
      <x:c r="C8" s="45" t="n">
        <x:f>'Types of Events'!E32</x:f>
        <x:v>75956</x:v>
      </x:c>
      <x:c r="D8" s="46" t="n">
        <x:f>C8/B8</x:f>
        <x:v>11.107926294238082</x:v>
      </x:c>
    </x:row>
    <x:row r="9">
      <x:c r="A9" t="str">
        <x:v>Request Car</x:v>
      </x:c>
      <x:c r="B9" s="45" t="n">
        <x:f>'Types of Events'!F2</x:f>
        <x:v>24763</x:v>
      </x:c>
      <x:c r="C9" s="45" t="n">
        <x:f>'Types of Events'!F32</x:f>
        <x:v>303024</x:v>
      </x:c>
      <x:c r="D9" s="46" t="n">
        <x:f>C9/B9</x:f>
        <x:v>12.236966441868917</x:v>
      </x:c>
    </x:row>
    <x:row r="10">
      <x:c r="A10" t="str">
        <x:v>Total Event</x:v>
      </x:c>
      <x:c r="B10" s="45" t="n">
        <x:f>'Types of Events'!G2</x:f>
        <x:v>790329</x:v>
      </x:c>
      <x:c r="C10" s="45" t="n">
        <x:f>'Types of Events'!G32</x:f>
        <x:v>12788264</x:v>
      </x:c>
      <x:c r="D10" s="46" t="n">
        <x:f>C10/B10</x:f>
        <x:v>16.18093730585617</x:v>
      </x:c>
    </x:row>
    <x:row r="12">
      <x:c r="A12" s="60" t="str">
        <x:v>Date</x:v>
      </x:c>
      <x:c r="B12" s="61" t="str">
        <x:v>Choose Car</x:v>
      </x:c>
      <x:c r="C12" s="61" t="str">
        <x:v>Search</x:v>
      </x:c>
      <x:c r="D12" s="61" t="str">
        <x:v>Open</x:v>
      </x:c>
      <x:c r="E12" s="61" t="str">
        <x:v>Begin Ride</x:v>
      </x:c>
      <x:c r="F12" s="61" t="str">
        <x:v>Request Car</x:v>
      </x:c>
      <x:c r="G12" s="62" t="str">
        <x:v>Total Event</x:v>
      </x:c>
      <x:c r="H12" s="69" t="str">
        <x:v>Date</x:v>
      </x:c>
      <x:c r="I12" s="69" t="str">
        <x:v>Total Event</x:v>
      </x:c>
    </x:row>
    <x:row r="13">
      <x:c r="A13" s="63" t="str">
        <x:v>Sep 11</x:v>
      </x:c>
      <x:c r="B13" s="65" t="n">
        <x:f>'Types of Events'!B2</x:f>
        <x:v>61416</x:v>
      </x:c>
      <x:c r="C13" s="65" t="n">
        <x:f>'Types of Events'!C2</x:f>
        <x:v>140598</x:v>
      </x:c>
      <x:c r="D13" s="65" t="n">
        <x:f>'Types of Events'!D2</x:f>
        <x:v>556714</x:v>
      </x:c>
      <x:c r="E13" s="65" t="n">
        <x:f>'Types of Events'!E2</x:f>
        <x:v>6838</x:v>
      </x:c>
      <x:c r="F13" s="65" t="n">
        <x:f>'Types of Events'!F2</x:f>
        <x:v>24763</x:v>
      </x:c>
      <x:c r="G13" s="66" t="n">
        <x:f>'Types of Events'!G2</x:f>
        <x:v>790329</x:v>
      </x:c>
      <x:c r="H13" s="69" t="str">
        <x:v>Sep 11</x:v>
      </x:c>
      <x:c r="I13" s="69" t="n">
        <x:f>'Types of Events'!G2</x:f>
        <x:v>790329</x:v>
      </x:c>
    </x:row>
    <x:row r="14">
      <x:c r="A14" s="63" t="str">
        <x:v>Sep 12</x:v>
      </x:c>
      <x:c r="B14" s="65" t="n">
        <x:f>'Types of Events'!B3</x:f>
        <x:v>146620</x:v>
      </x:c>
      <x:c r="C14" s="65" t="n">
        <x:f>'Types of Events'!C3</x:f>
        <x:v>159770</x:v>
      </x:c>
      <x:c r="D14" s="65" t="n">
        <x:f>'Types of Events'!D3</x:f>
        <x:v>632630</x:v>
      </x:c>
      <x:c r="E14" s="65" t="n">
        <x:f>'Types of Events'!E3</x:f>
        <x:v>7770</x:v>
      </x:c>
      <x:c r="F14" s="65" t="n">
        <x:f>'Types of Events'!F3</x:f>
        <x:v>28140</x:v>
      </x:c>
      <x:c r="G14" s="66" t="n">
        <x:f>'Types of Events'!G3</x:f>
        <x:v>974930</x:v>
      </x:c>
      <x:c r="H14" s="69" t="str">
        <x:v>Sep 12</x:v>
      </x:c>
      <x:c r="I14" s="69" t="n">
        <x:f>'Types of Events'!G3</x:f>
        <x:v>974930</x:v>
      </x:c>
    </x:row>
    <x:row r="15">
      <x:c r="A15" s="63" t="str">
        <x:v>Sep 13</x:v>
      </x:c>
      <x:c r="B15" s="65" t="n">
        <x:f>'Types of Events'!B4</x:f>
        <x:v>277770</x:v>
      </x:c>
      <x:c r="C15" s="65" t="n">
        <x:f>'Types of Events'!C4</x:f>
        <x:v>292090</x:v>
      </x:c>
      <x:c r="D15" s="65" t="n">
        <x:f>'Types of Events'!D4</x:f>
        <x:v>1166910</x:v>
      </x:c>
      <x:c r="E15" s="65" t="n">
        <x:f>'Types of Events'!E4</x:f>
        <x:v>10390</x:v>
      </x:c>
      <x:c r="F15" s="65" t="n">
        <x:f>'Types of Events'!F4</x:f>
        <x:v>52210</x:v>
      </x:c>
      <x:c r="G15" s="66" t="n">
        <x:f>'Types of Events'!G4</x:f>
        <x:v>1799370</x:v>
      </x:c>
      <x:c r="H15" s="69" t="str">
        <x:v>Sep 13</x:v>
      </x:c>
      <x:c r="I15" s="69" t="n">
        <x:f>'Types of Events'!G4</x:f>
        <x:v>1799370</x:v>
      </x:c>
    </x:row>
    <x:row r="16">
      <x:c r="A16" s="63" t="str">
        <x:v>Sep 14</x:v>
      </x:c>
      <x:c r="B16" s="65" t="n">
        <x:f>'Types of Events'!B5</x:f>
        <x:v>56220</x:v>
      </x:c>
      <x:c r="C16" s="65" t="n">
        <x:f>'Types of Events'!C5</x:f>
        <x:v>66050</x:v>
      </x:c>
      <x:c r="D16" s="65" t="n">
        <x:f>'Types of Events'!D5</x:f>
        <x:v>237120</x:v>
      </x:c>
      <x:c r="E16" s="65" t="n">
        <x:f>'Types of Events'!E5</x:f>
        <x:v>6380</x:v>
      </x:c>
      <x:c r="F16" s="65" t="n">
        <x:f>'Types of Events'!F5</x:f>
        <x:v>9870</x:v>
      </x:c>
      <x:c r="G16" s="66" t="n">
        <x:f>'Types of Events'!G5</x:f>
        <x:v>375640</x:v>
      </x:c>
      <x:c r="H16" s="69" t="str">
        <x:v>Sep 14</x:v>
      </x:c>
      <x:c r="I16" s="69" t="n">
        <x:f>'Types of Events'!G5</x:f>
        <x:v>375640</x:v>
      </x:c>
    </x:row>
    <x:row r="17">
      <x:c r="A17" s="63" t="str">
        <x:v>Sep 15</x:v>
      </x:c>
      <x:c r="B17" s="65" t="n">
        <x:f>'Types of Events'!B6</x:f>
        <x:v>280840</x:v>
      </x:c>
      <x:c r="C17" s="65" t="n">
        <x:f>'Types of Events'!C6</x:f>
        <x:v>290750</x:v>
      </x:c>
      <x:c r="D17" s="65" t="n">
        <x:f>'Types of Events'!D6</x:f>
        <x:v>1182640</x:v>
      </x:c>
      <x:c r="E17" s="65" t="n">
        <x:f>'Types of Events'!E6</x:f>
        <x:v>10900</x:v>
      </x:c>
      <x:c r="F17" s="65" t="n">
        <x:f>'Types of Events'!F6</x:f>
        <x:v>52600</x:v>
      </x:c>
      <x:c r="G17" s="66" t="n">
        <x:f>'Types of Events'!G6</x:f>
        <x:v>1817730</x:v>
      </x:c>
      <x:c r="H17" s="69" t="str">
        <x:v>Sep 15</x:v>
      </x:c>
      <x:c r="I17" s="69" t="n">
        <x:f>'Types of Events'!G6</x:f>
        <x:v>1817730</x:v>
      </x:c>
    </x:row>
    <x:row r="18">
      <x:c r="A18" s="63" t="str">
        <x:v>Sep 16</x:v>
      </x:c>
      <x:c r="B18" s="65" t="n">
        <x:f>'Types of Events'!B7</x:f>
        <x:v>279370</x:v>
      </x:c>
      <x:c r="C18" s="65" t="n">
        <x:f>'Types of Events'!C7</x:f>
        <x:v>288610</x:v>
      </x:c>
      <x:c r="D18" s="65" t="n">
        <x:f>'Types of Events'!D7</x:f>
        <x:v>1171230</x:v>
      </x:c>
      <x:c r="E18" s="65" t="n">
        <x:f>'Types of Events'!E7</x:f>
        <x:v>11190</x:v>
      </x:c>
      <x:c r="F18" s="65" t="n">
        <x:f>'Types of Events'!F7</x:f>
        <x:v>52660</x:v>
      </x:c>
      <x:c r="G18" s="66" t="n">
        <x:f>'Types of Events'!G7</x:f>
        <x:v>1803060</x:v>
      </x:c>
      <x:c r="H18" s="69" t="str">
        <x:v>Sep 16</x:v>
      </x:c>
      <x:c r="I18" s="69" t="n">
        <x:f>'Types of Events'!G7</x:f>
        <x:v>1803060</x:v>
      </x:c>
    </x:row>
    <x:row r="19">
      <x:c r="A19" s="63" t="str">
        <x:v>Sep 17</x:v>
      </x:c>
      <x:c r="B19" s="65" t="n">
        <x:f>'Types of Events'!B8</x:f>
        <x:v>280030</x:v>
      </x:c>
      <x:c r="C19" s="65" t="n">
        <x:f>'Types of Events'!C8</x:f>
        <x:v>291830</x:v>
      </x:c>
      <x:c r="D19" s="65" t="n">
        <x:f>'Types of Events'!D8</x:f>
        <x:v>1163710</x:v>
      </x:c>
      <x:c r="E19" s="65" t="n">
        <x:f>'Types of Events'!E8</x:f>
        <x:v>12470</x:v>
      </x:c>
      <x:c r="F19" s="65" t="n">
        <x:f>'Types of Events'!F8</x:f>
        <x:v>52430</x:v>
      </x:c>
      <x:c r="G19" s="66" t="n">
        <x:f>'Types of Events'!G8</x:f>
        <x:v>1800470</x:v>
      </x:c>
      <x:c r="H19" s="69" t="str">
        <x:v>Sep 17</x:v>
      </x:c>
      <x:c r="I19" s="69" t="n">
        <x:f>'Types of Events'!G8</x:f>
        <x:v>1800470</x:v>
      </x:c>
    </x:row>
    <x:row r="20">
      <x:c r="A20" s="63" t="str">
        <x:v>Sep 18</x:v>
      </x:c>
      <x:c r="B20" s="65" t="n">
        <x:f>'Types of Events'!B9</x:f>
        <x:v>281060</x:v>
      </x:c>
      <x:c r="C20" s="65" t="n">
        <x:f>'Types of Events'!C9</x:f>
        <x:v>289630</x:v>
      </x:c>
      <x:c r="D20" s="65" t="n">
        <x:f>'Types of Events'!D9</x:f>
        <x:v>1166660</x:v>
      </x:c>
      <x:c r="E20" s="65" t="n">
        <x:f>'Types of Events'!E9</x:f>
        <x:v>13270</x:v>
      </x:c>
      <x:c r="F20" s="65" t="n">
        <x:f>'Types of Events'!F9</x:f>
        <x:v>52940</x:v>
      </x:c>
      <x:c r="G20" s="66" t="n">
        <x:f>'Types of Events'!G9</x:f>
        <x:v>1803560</x:v>
      </x:c>
      <x:c r="H20" s="69" t="str">
        <x:v>Sep 18</x:v>
      </x:c>
      <x:c r="I20" s="69" t="n">
        <x:f>'Types of Events'!G9</x:f>
        <x:v>1803560</x:v>
      </x:c>
    </x:row>
    <x:row r="21">
      <x:c r="A21" s="63" t="str">
        <x:v>Sep 19</x:v>
      </x:c>
      <x:c r="B21" s="65" t="n">
        <x:f>'Types of Events'!B10</x:f>
        <x:v>283871</x:v>
      </x:c>
      <x:c r="C21" s="65" t="n">
        <x:f>'Types of Events'!C10</x:f>
        <x:v>318593</x:v>
      </x:c>
      <x:c r="D21" s="65" t="n">
        <x:f>'Types of Events'!D10</x:f>
        <x:v>1283326</x:v>
      </x:c>
      <x:c r="E21" s="65" t="n">
        <x:f>'Types of Events'!E10</x:f>
        <x:v>14597</x:v>
      </x:c>
      <x:c r="F21" s="65" t="n">
        <x:f>'Types of Events'!F10</x:f>
        <x:v>58234</x:v>
      </x:c>
      <x:c r="G21" s="66" t="n">
        <x:f>'Types of Events'!G10</x:f>
        <x:v>1958621</x:v>
      </x:c>
      <x:c r="H21" s="69" t="str">
        <x:v>Sep 19</x:v>
      </x:c>
      <x:c r="I21" s="69" t="n">
        <x:f>'Types of Events'!G10</x:f>
        <x:v>1958621</x:v>
      </x:c>
    </x:row>
    <x:row r="22">
      <x:c r="A22" s="63" t="str">
        <x:v>Sep 20</x:v>
      </x:c>
      <x:c r="B22" s="65" t="n">
        <x:f>'Types of Events'!B11</x:f>
        <x:v>286709</x:v>
      </x:c>
      <x:c r="C22" s="65" t="n">
        <x:f>'Types of Events'!C11</x:f>
        <x:v>350452</x:v>
      </x:c>
      <x:c r="D22" s="65" t="n">
        <x:f>'Types of Events'!D11</x:f>
        <x:v>1411659</x:v>
      </x:c>
      <x:c r="E22" s="65" t="n">
        <x:f>'Types of Events'!E11</x:f>
        <x:v>16057</x:v>
      </x:c>
      <x:c r="F22" s="65" t="n">
        <x:f>'Types of Events'!F11</x:f>
        <x:v>64057</x:v>
      </x:c>
      <x:c r="G22" s="66" t="n">
        <x:f>'Types of Events'!G11</x:f>
        <x:v>2128934</x:v>
      </x:c>
      <x:c r="H22" s="69" t="str">
        <x:v>Sep 20</x:v>
      </x:c>
      <x:c r="I22" s="69" t="n">
        <x:f>'Types of Events'!G11</x:f>
        <x:v>2128934</x:v>
      </x:c>
    </x:row>
    <x:row r="23">
      <x:c r="A23" s="63" t="str">
        <x:v>Sep 21</x:v>
      </x:c>
      <x:c r="B23" s="65" t="n">
        <x:f>'Types of Events'!B12</x:f>
        <x:v>289576</x:v>
      </x:c>
      <x:c r="C23" s="65" t="n">
        <x:f>'Types of Events'!C12</x:f>
        <x:v>385498</x:v>
      </x:c>
      <x:c r="D23" s="65" t="n">
        <x:f>'Types of Events'!D12</x:f>
        <x:v>1552825</x:v>
      </x:c>
      <x:c r="E23" s="65" t="n">
        <x:f>'Types of Events'!E12</x:f>
        <x:v>17662</x:v>
      </x:c>
      <x:c r="F23" s="65" t="n">
        <x:f>'Types of Events'!F12</x:f>
        <x:v>70463</x:v>
      </x:c>
      <x:c r="G23" s="66" t="n">
        <x:f>'Types of Events'!G12</x:f>
        <x:v>2316024</x:v>
      </x:c>
      <x:c r="H23" s="69" t="str">
        <x:v>Sep 21</x:v>
      </x:c>
      <x:c r="I23" s="69" t="n">
        <x:f>'Types of Events'!G12</x:f>
        <x:v>2316024</x:v>
      </x:c>
    </x:row>
    <x:row r="24">
      <x:c r="A24" s="63" t="str">
        <x:v>Sep 22</x:v>
      </x:c>
      <x:c r="B24" s="65" t="n">
        <x:f>'Types of Events'!B13</x:f>
        <x:v>318534</x:v>
      </x:c>
      <x:c r="C24" s="65" t="n">
        <x:f>'Types of Events'!C13</x:f>
        <x:v>424047</x:v>
      </x:c>
      <x:c r="D24" s="65" t="n">
        <x:f>'Types of Events'!D13</x:f>
        <x:v>1708107</x:v>
      </x:c>
      <x:c r="E24" s="65" t="n">
        <x:f>'Types of Events'!E13</x:f>
        <x:v>19429</x:v>
      </x:c>
      <x:c r="F24" s="65" t="n">
        <x:f>'Types of Events'!F13</x:f>
        <x:v>77509</x:v>
      </x:c>
      <x:c r="G24" s="66" t="n">
        <x:f>'Types of Events'!G13</x:f>
        <x:v>2547626</x:v>
      </x:c>
      <x:c r="H24" s="69" t="str">
        <x:v>Sep 22</x:v>
      </x:c>
      <x:c r="I24" s="69" t="n">
        <x:f>'Types of Events'!G13</x:f>
        <x:v>2547626</x:v>
      </x:c>
    </x:row>
    <x:row r="25">
      <x:c r="A25" s="63" t="str">
        <x:v>Sep 23</x:v>
      </x:c>
      <x:c r="B25" s="65" t="n">
        <x:f>'Types of Events'!B14</x:f>
        <x:v>350387</x:v>
      </x:c>
      <x:c r="C25" s="65" t="n">
        <x:f>'Types of Events'!C14</x:f>
        <x:v>466452</x:v>
      </x:c>
      <x:c r="D25" s="65" t="n">
        <x:f>'Types of Events'!D14</x:f>
        <x:v>1878918</x:v>
      </x:c>
      <x:c r="E25" s="65" t="n">
        <x:f>'Types of Events'!E14</x:f>
        <x:v>21371</x:v>
      </x:c>
      <x:c r="F25" s="65" t="n">
        <x:f>'Types of Events'!F14</x:f>
        <x:v>85260</x:v>
      </x:c>
      <x:c r="G25" s="66" t="n">
        <x:f>'Types of Events'!G14</x:f>
        <x:v>2802388</x:v>
      </x:c>
      <x:c r="H25" s="69" t="str">
        <x:v>Sep 23</x:v>
      </x:c>
      <x:c r="I25" s="69" t="n">
        <x:f>'Types of Events'!G14</x:f>
        <x:v>2802388</x:v>
      </x:c>
    </x:row>
    <x:row r="26">
      <x:c r="A26" s="63" t="str">
        <x:v>Sep 24</x:v>
      </x:c>
      <x:c r="B26" s="65" t="n">
        <x:f>'Types of Events'!B15</x:f>
        <x:v>385426</x:v>
      </x:c>
      <x:c r="C26" s="65" t="n">
        <x:f>'Types of Events'!C15</x:f>
        <x:v>513097</x:v>
      </x:c>
      <x:c r="D26" s="65" t="n">
        <x:f>'Types of Events'!D15</x:f>
        <x:v>2066809</x:v>
      </x:c>
      <x:c r="E26" s="65" t="n">
        <x:f>'Types of Events'!E15</x:f>
        <x:v>23509</x:v>
      </x:c>
      <x:c r="F26" s="65" t="n">
        <x:f>'Types of Events'!F15</x:f>
        <x:v>93786</x:v>
      </x:c>
      <x:c r="G26" s="66" t="n">
        <x:f>'Types of Events'!G15</x:f>
        <x:v>3082627</x:v>
      </x:c>
      <x:c r="H26" s="69" t="str">
        <x:v>Sep 24</x:v>
      </x:c>
      <x:c r="I26" s="69" t="n">
        <x:f>'Types of Events'!G15</x:f>
        <x:v>3082627</x:v>
      </x:c>
    </x:row>
    <x:row r="27">
      <x:c r="A27" s="63" t="str">
        <x:v>Sep 25</x:v>
      </x:c>
      <x:c r="B27" s="65" t="n">
        <x:f>'Types of Events'!B16</x:f>
        <x:v>431677</x:v>
      </x:c>
      <x:c r="C27" s="65" t="n">
        <x:f>'Types of Events'!C16</x:f>
        <x:v>574669</x:v>
      </x:c>
      <x:c r="D27" s="65" t="n">
        <x:f>'Types of Events'!D16</x:f>
        <x:v>2314827</x:v>
      </x:c>
      <x:c r="E27" s="65" t="n">
        <x:f>'Types of Events'!E16</x:f>
        <x:v>27035</x:v>
      </x:c>
      <x:c r="F27" s="65" t="n">
        <x:f>'Types of Events'!F16</x:f>
        <x:v>107854</x:v>
      </x:c>
      <x:c r="G27" s="66" t="n">
        <x:f>'Types of Events'!G16</x:f>
        <x:v>3456062</x:v>
      </x:c>
      <x:c r="H27" s="69" t="str">
        <x:v>Sep 25</x:v>
      </x:c>
      <x:c r="I27" s="69" t="n">
        <x:f>'Types of Events'!G16</x:f>
        <x:v>3456062</x:v>
      </x:c>
    </x:row>
    <x:row r="28">
      <x:c r="A28" s="63" t="str">
        <x:v>Sep 26</x:v>
      </x:c>
      <x:c r="B28" s="65" t="n">
        <x:f>'Types of Events'!B17</x:f>
        <x:v>483479</x:v>
      </x:c>
      <x:c r="C28" s="65" t="n">
        <x:f>'Types of Events'!C17</x:f>
        <x:v>643629</x:v>
      </x:c>
      <x:c r="D28" s="65" t="n">
        <x:f>'Types of Events'!D17</x:f>
        <x:v>2592606</x:v>
      </x:c>
      <x:c r="E28" s="65" t="n">
        <x:f>'Types of Events'!E17</x:f>
        <x:v>31090</x:v>
      </x:c>
      <x:c r="F28" s="65" t="n">
        <x:f>'Types of Events'!F17</x:f>
        <x:v>124033</x:v>
      </x:c>
      <x:c r="G28" s="66" t="n">
        <x:f>'Types of Events'!G17</x:f>
        <x:v>3874837</x:v>
      </x:c>
      <x:c r="H28" s="69" t="str">
        <x:v>Sep 26</x:v>
      </x:c>
      <x:c r="I28" s="69" t="n">
        <x:f>'Types of Events'!G17</x:f>
        <x:v>3874837</x:v>
      </x:c>
    </x:row>
    <x:row r="29">
      <x:c r="A29" s="63" t="str">
        <x:v>Sep 27</x:v>
      </x:c>
      <x:c r="B29" s="65" t="n">
        <x:f>'Types of Events'!B18</x:f>
        <x:v>541496</x:v>
      </x:c>
      <x:c r="C29" s="65" t="n">
        <x:f>'Types of Events'!C18</x:f>
        <x:v>720865</x:v>
      </x:c>
      <x:c r="D29" s="65" t="n">
        <x:f>'Types of Events'!D18</x:f>
        <x:v>2903718</x:v>
      </x:c>
      <x:c r="E29" s="65" t="n">
        <x:f>'Types of Events'!E18</x:f>
        <x:v>35754</x:v>
      </x:c>
      <x:c r="F29" s="65" t="n">
        <x:f>'Types of Events'!F18</x:f>
        <x:v>142637</x:v>
      </x:c>
      <x:c r="G29" s="66" t="n">
        <x:f>'Types of Events'!G18</x:f>
        <x:v>4344470</x:v>
      </x:c>
      <x:c r="H29" s="69" t="str">
        <x:v>Sep 27</x:v>
      </x:c>
      <x:c r="I29" s="69" t="n">
        <x:f>'Types of Events'!G18</x:f>
        <x:v>4344470</x:v>
      </x:c>
    </x:row>
    <x:row r="30">
      <x:c r="A30" s="63" t="str">
        <x:v>Sep 28</x:v>
      </x:c>
      <x:c r="B30" s="65" t="n">
        <x:f>'Types of Events'!B19</x:f>
        <x:v>622720</x:v>
      </x:c>
      <x:c r="C30" s="65" t="n">
        <x:f>'Types of Events'!C19</x:f>
        <x:v>807368</x:v>
      </x:c>
      <x:c r="D30" s="65" t="n">
        <x:f>'Types of Events'!D19</x:f>
        <x:v>3252165</x:v>
      </x:c>
      <x:c r="E30" s="65" t="n">
        <x:f>'Types of Events'!E19</x:f>
        <x:v>41117</x:v>
      </x:c>
      <x:c r="F30" s="65" t="n">
        <x:f>'Types of Events'!F19</x:f>
        <x:v>164033</x:v>
      </x:c>
      <x:c r="G30" s="66" t="n">
        <x:f>'Types of Events'!G19</x:f>
        <x:v>4887403</x:v>
      </x:c>
      <x:c r="H30" s="69" t="str">
        <x:v>Sep 28</x:v>
      </x:c>
      <x:c r="I30" s="69" t="n">
        <x:f>'Types of Events'!G19</x:f>
        <x:v>4887403</x:v>
      </x:c>
    </x:row>
    <x:row r="31">
      <x:c r="A31" s="63" t="str">
        <x:v>Sep 29</x:v>
      </x:c>
      <x:c r="B31" s="65" t="n">
        <x:f>'Types of Events'!B20</x:f>
        <x:v>809537</x:v>
      </x:c>
      <x:c r="C31" s="65" t="n">
        <x:f>'Types of Events'!C20</x:f>
        <x:v>904253</x:v>
      </x:c>
      <x:c r="D31" s="65" t="n">
        <x:f>'Types of Events'!D20</x:f>
        <x:v>3642424</x:v>
      </x:c>
      <x:c r="E31" s="65" t="n">
        <x:f>'Types of Events'!E20</x:f>
        <x:v>47284</x:v>
      </x:c>
      <x:c r="F31" s="65" t="n">
        <x:f>'Types of Events'!F20</x:f>
        <x:v>188638</x:v>
      </x:c>
      <x:c r="G31" s="66" t="n">
        <x:f>'Types of Events'!G20</x:f>
        <x:v>5592136</x:v>
      </x:c>
      <x:c r="H31" s="69" t="str">
        <x:v>Sep 29</x:v>
      </x:c>
      <x:c r="I31" s="69" t="n">
        <x:f>'Types of Events'!G20</x:f>
        <x:v>5592136</x:v>
      </x:c>
    </x:row>
    <x:row r="32">
      <x:c r="A32" s="63" t="str">
        <x:v>Sep 30</x:v>
      </x:c>
      <x:c r="B32" s="65" t="n">
        <x:f>'Types of Events'!B21</x:f>
        <x:v>971444</x:v>
      </x:c>
      <x:c r="C32" s="65" t="n">
        <x:f>'Types of Events'!C21</x:f>
        <x:v>1085103</x:v>
      </x:c>
      <x:c r="D32" s="65" t="n">
        <x:f>'Types of Events'!D21</x:f>
        <x:v>4370909</x:v>
      </x:c>
      <x:c r="E32" s="65" t="n">
        <x:f>'Types of Events'!E21</x:f>
        <x:v>54377</x:v>
      </x:c>
      <x:c r="F32" s="65" t="n">
        <x:f>'Types of Events'!F21</x:f>
        <x:v>216934</x:v>
      </x:c>
      <x:c r="G32" s="66" t="n">
        <x:f>'Types of Events'!G21</x:f>
        <x:v>6698767</x:v>
      </x:c>
      <x:c r="H32" s="69" t="str">
        <x:v>Sep 30</x:v>
      </x:c>
      <x:c r="I32" s="69" t="n">
        <x:f>'Types of Events'!G21</x:f>
        <x:v>6698767</x:v>
      </x:c>
    </x:row>
    <x:row r="33">
      <x:c r="A33" s="63" t="str">
        <x:v>Oct 01</x:v>
      </x:c>
      <x:c r="B33" s="65" t="n">
        <x:f>'Types of Events'!B22</x:f>
        <x:v>1262877</x:v>
      </x:c>
      <x:c r="C33" s="65" t="n">
        <x:f>'Types of Events'!C22</x:f>
        <x:v>1410634</x:v>
      </x:c>
      <x:c r="D33" s="65" t="n">
        <x:f>'Types of Events'!D22</x:f>
        <x:v>5682182</x:v>
      </x:c>
      <x:c r="E33" s="65" t="n">
        <x:f>'Types of Events'!E22</x:f>
        <x:v>62533</x:v>
      </x:c>
      <x:c r="F33" s="65" t="n">
        <x:f>'Types of Events'!F22</x:f>
        <x:v>249474</x:v>
      </x:c>
      <x:c r="G33" s="66" t="n">
        <x:f>'Types of Events'!G22</x:f>
        <x:v>8667700</x:v>
      </x:c>
      <x:c r="H33" s="69" t="str">
        <x:v>Oct 01</x:v>
      </x:c>
      <x:c r="I33" s="69" t="n">
        <x:f>'Types of Events'!G22</x:f>
        <x:v>8667700</x:v>
      </x:c>
    </x:row>
    <x:row r="34">
      <x:c r="A34" s="63" t="str">
        <x:v>Oct 02</x:v>
      </x:c>
      <x:c r="B34" s="65" t="n">
        <x:f>'Types of Events'!B23</x:f>
        <x:v>1641740</x:v>
      </x:c>
      <x:c r="C34" s="65" t="n">
        <x:f>'Types of Events'!C23</x:f>
        <x:v>1833824</x:v>
      </x:c>
      <x:c r="D34" s="65" t="n">
        <x:f>'Types of Events'!D23</x:f>
        <x:v>7386836</x:v>
      </x:c>
      <x:c r="E34" s="65" t="n">
        <x:f>'Types of Events'!E23</x:f>
        <x:v>71913</x:v>
      </x:c>
      <x:c r="F34" s="65" t="n">
        <x:f>'Types of Events'!F23</x:f>
        <x:v>286895</x:v>
      </x:c>
      <x:c r="G34" s="66" t="n">
        <x:f>'Types of Events'!G23</x:f>
        <x:v>11221208</x:v>
      </x:c>
      <x:c r="H34" s="69" t="str">
        <x:v>Oct 02</x:v>
      </x:c>
      <x:c r="I34" s="69" t="n">
        <x:f>'Types of Events'!G23</x:f>
        <x:v>11221208</x:v>
      </x:c>
    </x:row>
    <x:row r="35">
      <x:c r="A35" s="63" t="str">
        <x:v>Oct 03</x:v>
      </x:c>
      <x:c r="B35" s="65" t="n">
        <x:f>'Types of Events'!B24</x:f>
        <x:v>2134262</x:v>
      </x:c>
      <x:c r="C35" s="65" t="n">
        <x:f>'Types of Events'!C24</x:f>
        <x:v>2383972</x:v>
      </x:c>
      <x:c r="D35" s="65" t="n">
        <x:f>'Types of Events'!D24</x:f>
        <x:v>9602887</x:v>
      </x:c>
      <x:c r="E35" s="65" t="n">
        <x:f>'Types of Events'!E24</x:f>
        <x:v>89892</x:v>
      </x:c>
      <x:c r="F35" s="65" t="n">
        <x:f>'Types of Events'!F24</x:f>
        <x:v>358619</x:v>
      </x:c>
      <x:c r="G35" s="66" t="n">
        <x:f>'Types of Events'!G24</x:f>
        <x:v>14569632</x:v>
      </x:c>
      <x:c r="H35" s="69" t="str">
        <x:v>Oct 03</x:v>
      </x:c>
      <x:c r="I35" s="69" t="n">
        <x:f>'Types of Events'!G24</x:f>
        <x:v>14569632</x:v>
      </x:c>
    </x:row>
    <x:row r="36">
      <x:c r="A36" s="63" t="str">
        <x:v>Oct 04</x:v>
      </x:c>
      <x:c r="B36" s="65" t="n">
        <x:f>'Types of Events'!B25</x:f>
        <x:v>2774541</x:v>
      </x:c>
      <x:c r="C36" s="65" t="n">
        <x:f>'Types of Events'!C25</x:f>
        <x:v>3099163</x:v>
      </x:c>
      <x:c r="D36" s="65" t="n">
        <x:f>'Types of Events'!D25</x:f>
        <x:v>12483754</x:v>
      </x:c>
      <x:c r="E36" s="65" t="n">
        <x:f>'Types of Events'!E25</x:f>
        <x:v>112365</x:v>
      </x:c>
      <x:c r="F36" s="65" t="n">
        <x:f>'Types of Events'!F25</x:f>
        <x:v>448273</x:v>
      </x:c>
      <x:c r="G36" s="66" t="n">
        <x:f>'Types of Events'!G25</x:f>
        <x:v>18918096</x:v>
      </x:c>
      <x:c r="H36" s="69" t="str">
        <x:v>Oct 04</x:v>
      </x:c>
      <x:c r="I36" s="69" t="n">
        <x:f>'Types of Events'!G25</x:f>
        <x:v>18918096</x:v>
      </x:c>
    </x:row>
    <x:row r="37">
      <x:c r="A37" s="63" t="str">
        <x:v>Oct 05</x:v>
      </x:c>
      <x:c r="B37" s="65" t="n">
        <x:f>'Types of Events'!B26</x:f>
        <x:v>2497087</x:v>
      </x:c>
      <x:c r="C37" s="65" t="n">
        <x:f>'Types of Events'!C26</x:f>
        <x:v>2789247</x:v>
      </x:c>
      <x:c r="D37" s="65" t="n">
        <x:f>'Types of Events'!D26</x:f>
        <x:v>11235378</x:v>
      </x:c>
      <x:c r="E37" s="65" t="n">
        <x:f>'Types of Events'!E26</x:f>
        <x:v>101128</x:v>
      </x:c>
      <x:c r="F37" s="65" t="n">
        <x:f>'Types of Events'!F26</x:f>
        <x:v>403446</x:v>
      </x:c>
      <x:c r="G37" s="66" t="n">
        <x:f>'Types of Events'!G26</x:f>
        <x:v>17026286</x:v>
      </x:c>
      <x:c r="H37" s="69" t="str">
        <x:v>Oct 05</x:v>
      </x:c>
      <x:c r="I37" s="69" t="n">
        <x:f>'Types of Events'!G26</x:f>
        <x:v>17026286</x:v>
      </x:c>
    </x:row>
    <x:row r="38">
      <x:c r="A38" s="63" t="str">
        <x:v>Oct 06</x:v>
      </x:c>
      <x:c r="B38" s="65" t="n">
        <x:f>'Types of Events'!B27</x:f>
        <x:v>2247378</x:v>
      </x:c>
      <x:c r="C38" s="65" t="n">
        <x:f>'Types of Events'!C27</x:f>
        <x:v>2510322</x:v>
      </x:c>
      <x:c r="D38" s="65" t="n">
        <x:f>'Types of Events'!D27</x:f>
        <x:v>10111840</x:v>
      </x:c>
      <x:c r="E38" s="65" t="n">
        <x:f>'Types of Events'!E27</x:f>
        <x:v>91015</x:v>
      </x:c>
      <x:c r="F38" s="65" t="n">
        <x:f>'Types of Events'!F27</x:f>
        <x:v>363101</x:v>
      </x:c>
      <x:c r="G38" s="66" t="n">
        <x:f>'Types of Events'!G27</x:f>
        <x:v>15323656</x:v>
      </x:c>
      <x:c r="H38" s="69" t="str">
        <x:v>Oct 06</x:v>
      </x:c>
      <x:c r="I38" s="69" t="n">
        <x:f>'Types of Events'!G27</x:f>
        <x:v>15323656</x:v>
      </x:c>
    </x:row>
    <x:row r="39">
      <x:c r="A39" s="63" t="str">
        <x:v>Oct 07</x:v>
      </x:c>
      <x:c r="B39" s="65" t="n">
        <x:f>'Types of Events'!B28</x:f>
        <x:v>2022640</x:v>
      </x:c>
      <x:c r="C39" s="65" t="n">
        <x:f>'Types of Events'!C28</x:f>
        <x:v>2259290</x:v>
      </x:c>
      <x:c r="D39" s="65" t="n">
        <x:f>'Types of Events'!D28</x:f>
        <x:v>9100656</x:v>
      </x:c>
      <x:c r="E39" s="65" t="n">
        <x:f>'Types of Events'!E28</x:f>
        <x:v>81914</x:v>
      </x:c>
      <x:c r="F39" s="65" t="n">
        <x:f>'Types of Events'!F28</x:f>
        <x:v>326791</x:v>
      </x:c>
      <x:c r="G39" s="66" t="n">
        <x:f>'Types of Events'!G28</x:f>
        <x:v>13791291</x:v>
      </x:c>
      <x:c r="H39" s="69" t="str">
        <x:v>Oct 07</x:v>
      </x:c>
      <x:c r="I39" s="69" t="n">
        <x:f>'Types of Events'!G28</x:f>
        <x:v>13791291</x:v>
      </x:c>
    </x:row>
    <x:row r="40">
      <x:c r="A40" s="63" t="str">
        <x:v>Oct 08</x:v>
      </x:c>
      <x:c r="B40" s="65" t="n">
        <x:f>'Types of Events'!B29</x:f>
        <x:v>1820376</x:v>
      </x:c>
      <x:c r="C40" s="65" t="n">
        <x:f>'Types of Events'!C29</x:f>
        <x:v>2033361</x:v>
      </x:c>
      <x:c r="D40" s="65" t="n">
        <x:f>'Types of Events'!D29</x:f>
        <x:v>8190591</x:v>
      </x:c>
      <x:c r="E40" s="65" t="n">
        <x:f>'Types of Events'!E29</x:f>
        <x:v>73722</x:v>
      </x:c>
      <x:c r="F40" s="65" t="n">
        <x:f>'Types of Events'!F29</x:f>
        <x:v>294112</x:v>
      </x:c>
      <x:c r="G40" s="66" t="n">
        <x:f>'Types of Events'!G29</x:f>
        <x:v>12412162</x:v>
      </x:c>
      <x:c r="H40" s="69" t="str">
        <x:v>Oct 08</x:v>
      </x:c>
      <x:c r="I40" s="69" t="n">
        <x:f>'Types of Events'!G29</x:f>
        <x:v>12412162</x:v>
      </x:c>
    </x:row>
    <x:row r="41">
      <x:c r="A41" s="63" t="str">
        <x:v>Oct 09</x:v>
      </x:c>
      <x:c r="B41" s="65" t="n">
        <x:f>'Types of Events'!B30</x:f>
        <x:v>1838580</x:v>
      </x:c>
      <x:c r="C41" s="65" t="n">
        <x:f>'Types of Events'!C30</x:f>
        <x:v>2053694</x:v>
      </x:c>
      <x:c r="D41" s="65" t="n">
        <x:f>'Types of Events'!D30</x:f>
        <x:v>8272497</x:v>
      </x:c>
      <x:c r="E41" s="65" t="n">
        <x:f>'Types of Events'!E30</x:f>
        <x:v>74460</x:v>
      </x:c>
      <x:c r="F41" s="65" t="n">
        <x:f>'Types of Events'!F30</x:f>
        <x:v>297053</x:v>
      </x:c>
      <x:c r="G41" s="66" t="n">
        <x:f>'Types of Events'!G30</x:f>
        <x:v>12536284</x:v>
      </x:c>
      <x:c r="H41" s="69" t="str">
        <x:v>Oct 09</x:v>
      </x:c>
      <x:c r="I41" s="69" t="n">
        <x:f>'Types of Events'!G30</x:f>
        <x:v>12536284</x:v>
      </x:c>
    </x:row>
    <x:row r="42">
      <x:c r="A42" s="63" t="str">
        <x:v>Oct 10</x:v>
      </x:c>
      <x:c r="B42" s="65" t="n">
        <x:f>'Types of Events'!B31</x:f>
        <x:v>1856966</x:v>
      </x:c>
      <x:c r="C42" s="65" t="n">
        <x:f>'Types of Events'!C31</x:f>
        <x:v>2074231</x:v>
      </x:c>
      <x:c r="D42" s="65" t="n">
        <x:f>'Types of Events'!D31</x:f>
        <x:v>8355222</x:v>
      </x:c>
      <x:c r="E42" s="65" t="n">
        <x:f>'Types of Events'!E31</x:f>
        <x:v>75204</x:v>
      </x:c>
      <x:c r="F42" s="65" t="n">
        <x:f>'Types of Events'!F31</x:f>
        <x:v>300024</x:v>
      </x:c>
      <x:c r="G42" s="66" t="n">
        <x:f>'Types of Events'!G31</x:f>
        <x:v>12661647</x:v>
      </x:c>
      <x:c r="H42" s="69" t="str">
        <x:v>Oct 10</x:v>
      </x:c>
      <x:c r="I42" s="69" t="n">
        <x:f>'Types of Events'!G31</x:f>
        <x:v>12661647</x:v>
      </x:c>
    </x:row>
    <x:row r="43">
      <x:c r="A43" s="64" t="str">
        <x:v>Oct 11</x:v>
      </x:c>
      <x:c r="B43" s="67" t="n">
        <x:f>'Types of Events'!B32</x:f>
        <x:v>1875536</x:v>
      </x:c>
      <x:c r="C43" s="67" t="n">
        <x:f>'Types of Events'!C32</x:f>
        <x:v>2094974</x:v>
      </x:c>
      <x:c r="D43" s="67" t="n">
        <x:f>'Types of Events'!D32</x:f>
        <x:v>8438774</x:v>
      </x:c>
      <x:c r="E43" s="67" t="n">
        <x:f>'Types of Events'!E32</x:f>
        <x:v>75956</x:v>
      </x:c>
      <x:c r="F43" s="67" t="n">
        <x:f>'Types of Events'!F32</x:f>
        <x:v>303024</x:v>
      </x:c>
      <x:c r="G43" s="68" t="n">
        <x:f>'Types of Events'!G32</x:f>
        <x:v>12788264</x:v>
      </x:c>
      <x:c r="H43" s="69" t="str">
        <x:v>Oct 11</x:v>
      </x:c>
      <x:c r="I43" s="69" t="n">
        <x:f>'Types of Events'!G32</x:f>
        <x:v>12788264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dfa06d529b5f46ca"/>
</x:worksheet>
</file>